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7CB4B8FC-2BB2-40BE-ABBD-639D400872B9}" xr6:coauthVersionLast="47" xr6:coauthVersionMax="47" xr10:uidLastSave="{00000000-0000-0000-0000-000000000000}"/>
  <bookViews>
    <workbookView xWindow="28680" yWindow="-120" windowWidth="29040" windowHeight="15720" activeTab="2" xr2:uid="{00703F98-4DF2-452B-A5B1-1B40E14D866D}"/>
  </bookViews>
  <sheets>
    <sheet name="Tipos" sheetId="1" r:id="rId1"/>
    <sheet name="Actual" sheetId="2" r:id="rId2"/>
    <sheet name="Propuest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3" l="1"/>
  <c r="C9" i="3"/>
  <c r="I8" i="3"/>
  <c r="J7" i="3"/>
  <c r="I7" i="3"/>
  <c r="L6" i="3"/>
  <c r="K6" i="3"/>
  <c r="J6" i="3"/>
  <c r="J16" i="3" s="1"/>
  <c r="J17" i="3" s="1"/>
  <c r="J18" i="3" s="1"/>
  <c r="J19" i="3" s="1"/>
  <c r="J20" i="3" s="1"/>
  <c r="I6" i="3"/>
  <c r="I16" i="3" s="1"/>
  <c r="I17" i="3" s="1"/>
  <c r="I18" i="3" s="1"/>
  <c r="I19" i="3" s="1"/>
  <c r="I20" i="3" s="1"/>
  <c r="H6" i="3"/>
  <c r="H16" i="3" s="1"/>
  <c r="H17" i="3" s="1"/>
  <c r="H18" i="3" s="1"/>
  <c r="H19" i="3" s="1"/>
  <c r="H20" i="3" s="1"/>
  <c r="G6" i="3"/>
  <c r="G11" i="3" s="1"/>
  <c r="G12" i="3" s="1"/>
  <c r="F6" i="3"/>
  <c r="F16" i="3" s="1"/>
  <c r="F17" i="3" s="1"/>
  <c r="F18" i="3" s="1"/>
  <c r="F19" i="3" s="1"/>
  <c r="F20" i="3" s="1"/>
  <c r="E6" i="3"/>
  <c r="E16" i="3" s="1"/>
  <c r="E17" i="3" s="1"/>
  <c r="E18" i="3" s="1"/>
  <c r="E19" i="3" s="1"/>
  <c r="E20" i="3" s="1"/>
  <c r="E21" i="3" s="1"/>
  <c r="E4" i="3" s="1"/>
  <c r="D6" i="3"/>
  <c r="C6" i="3"/>
  <c r="B5" i="3"/>
  <c r="H8" i="2"/>
  <c r="G8" i="2"/>
  <c r="F8" i="2"/>
  <c r="E8" i="2"/>
  <c r="H7" i="2"/>
  <c r="G7" i="2"/>
  <c r="L6" i="2"/>
  <c r="L8" i="2" s="1"/>
  <c r="K6" i="2"/>
  <c r="K8" i="2" s="1"/>
  <c r="J6" i="2"/>
  <c r="J8" i="2" s="1"/>
  <c r="I6" i="2"/>
  <c r="I8" i="2" s="1"/>
  <c r="H6" i="2"/>
  <c r="G6" i="2"/>
  <c r="F6" i="2"/>
  <c r="F7" i="2" s="1"/>
  <c r="E6" i="2"/>
  <c r="E7" i="2" s="1"/>
  <c r="D6" i="2"/>
  <c r="D8" i="2" s="1"/>
  <c r="C6" i="2"/>
  <c r="C7" i="2" s="1"/>
  <c r="B5" i="2"/>
  <c r="J8" i="3" l="1"/>
  <c r="H8" i="3"/>
  <c r="H7" i="3"/>
  <c r="G16" i="3"/>
  <c r="G17" i="3" s="1"/>
  <c r="G18" i="3" s="1"/>
  <c r="G19" i="3" s="1"/>
  <c r="G20" i="3" s="1"/>
  <c r="G8" i="3"/>
  <c r="E5" i="3"/>
  <c r="F10" i="3"/>
  <c r="F9" i="3"/>
  <c r="G13" i="3"/>
  <c r="G14" i="3" s="1"/>
  <c r="C7" i="3"/>
  <c r="K7" i="3"/>
  <c r="C11" i="3"/>
  <c r="C12" i="3" s="1"/>
  <c r="D7" i="3"/>
  <c r="L7" i="3"/>
  <c r="E7" i="3"/>
  <c r="C8" i="3"/>
  <c r="K8" i="3"/>
  <c r="C16" i="3"/>
  <c r="C17" i="3" s="1"/>
  <c r="C18" i="3" s="1"/>
  <c r="C19" i="3" s="1"/>
  <c r="C20" i="3" s="1"/>
  <c r="K16" i="3"/>
  <c r="K17" i="3" s="1"/>
  <c r="K18" i="3" s="1"/>
  <c r="K19" i="3" s="1"/>
  <c r="K20" i="3" s="1"/>
  <c r="F7" i="3"/>
  <c r="D8" i="3"/>
  <c r="L8" i="3"/>
  <c r="F11" i="3"/>
  <c r="F12" i="3" s="1"/>
  <c r="D16" i="3"/>
  <c r="D17" i="3" s="1"/>
  <c r="D18" i="3" s="1"/>
  <c r="D19" i="3" s="1"/>
  <c r="D20" i="3" s="1"/>
  <c r="L16" i="3"/>
  <c r="L17" i="3" s="1"/>
  <c r="L18" i="3" s="1"/>
  <c r="L19" i="3" s="1"/>
  <c r="L20" i="3" s="1"/>
  <c r="G7" i="3"/>
  <c r="E8" i="3"/>
  <c r="F8" i="3"/>
  <c r="I7" i="2"/>
  <c r="J7" i="2"/>
  <c r="C4" i="2"/>
  <c r="C5" i="2" s="1"/>
  <c r="D7" i="2"/>
  <c r="D4" i="2" s="1"/>
  <c r="D5" i="2" s="1"/>
  <c r="L7" i="2"/>
  <c r="K7" i="2"/>
  <c r="C8" i="2"/>
  <c r="G15" i="3" l="1"/>
  <c r="G21" i="3" s="1"/>
  <c r="G4" i="3" s="1"/>
  <c r="C13" i="3"/>
  <c r="C14" i="3" s="1"/>
  <c r="C15" i="3"/>
  <c r="C21" i="3" s="1"/>
  <c r="C4" i="3" s="1"/>
  <c r="E9" i="3"/>
  <c r="E10" i="3"/>
  <c r="F4" i="3" s="1"/>
  <c r="F13" i="3"/>
  <c r="F14" i="3" s="1"/>
  <c r="H11" i="3"/>
  <c r="H12" i="3" s="1"/>
  <c r="H10" i="3"/>
  <c r="H9" i="3"/>
  <c r="G5" i="3"/>
  <c r="E4" i="2"/>
  <c r="H13" i="3" l="1"/>
  <c r="H14" i="3" s="1"/>
  <c r="F15" i="3"/>
  <c r="F21" i="3" s="1"/>
  <c r="G10" i="3"/>
  <c r="G9" i="3"/>
  <c r="F5" i="3"/>
  <c r="D9" i="3"/>
  <c r="C5" i="3"/>
  <c r="D10" i="3"/>
  <c r="D11" i="3"/>
  <c r="D12" i="3" s="1"/>
  <c r="E5" i="2"/>
  <c r="F4" i="2"/>
  <c r="H15" i="3" l="1"/>
  <c r="H21" i="3" s="1"/>
  <c r="H4" i="3" s="1"/>
  <c r="I10" i="3" s="1"/>
  <c r="D13" i="3"/>
  <c r="D14" i="3" s="1"/>
  <c r="F5" i="2"/>
  <c r="G4" i="2"/>
  <c r="H5" i="3" l="1"/>
  <c r="I11" i="3"/>
  <c r="I12" i="3" s="1"/>
  <c r="I13" i="3" s="1"/>
  <c r="I14" i="3" s="1"/>
  <c r="I9" i="3"/>
  <c r="D15" i="3"/>
  <c r="D21" i="3" s="1"/>
  <c r="D4" i="3" s="1"/>
  <c r="G5" i="2"/>
  <c r="H4" i="2"/>
  <c r="D5" i="3" l="1"/>
  <c r="E11" i="3"/>
  <c r="E12" i="3" s="1"/>
  <c r="I15" i="3"/>
  <c r="I21" i="3" s="1"/>
  <c r="I4" i="3" s="1"/>
  <c r="H5" i="2"/>
  <c r="I9" i="2" s="1"/>
  <c r="I10" i="2" s="1"/>
  <c r="J9" i="2" s="1"/>
  <c r="J10" i="2" s="1"/>
  <c r="K9" i="2" s="1"/>
  <c r="K10" i="2" s="1"/>
  <c r="L9" i="2" s="1"/>
  <c r="L10" i="2" s="1"/>
  <c r="I4" i="2"/>
  <c r="J10" i="3" l="1"/>
  <c r="J9" i="3"/>
  <c r="I5" i="3"/>
  <c r="J11" i="3"/>
  <c r="J12" i="3" s="1"/>
  <c r="E13" i="3"/>
  <c r="E14" i="3" s="1"/>
  <c r="I5" i="2"/>
  <c r="J4" i="2"/>
  <c r="E15" i="3" l="1"/>
  <c r="J13" i="3"/>
  <c r="J14" i="3" s="1"/>
  <c r="J5" i="2"/>
  <c r="K4" i="2"/>
  <c r="J15" i="3" l="1"/>
  <c r="J21" i="3" s="1"/>
  <c r="J4" i="3" s="1"/>
  <c r="K11" i="3" s="1"/>
  <c r="K12" i="3" s="1"/>
  <c r="K9" i="3"/>
  <c r="J5" i="3"/>
  <c r="K5" i="2"/>
  <c r="L4" i="2"/>
  <c r="L5" i="2" s="1"/>
  <c r="K10" i="3" l="1"/>
  <c r="K13" i="3"/>
  <c r="K14" i="3" s="1"/>
  <c r="K15" i="3" l="1"/>
  <c r="K21" i="3" s="1"/>
  <c r="K4" i="3" s="1"/>
  <c r="L9" i="3" s="1"/>
  <c r="L11" i="3" l="1"/>
  <c r="L12" i="3" s="1"/>
  <c r="L13" i="3" s="1"/>
  <c r="L14" i="3" s="1"/>
  <c r="L10" i="3"/>
  <c r="K5" i="3"/>
  <c r="L15" i="3" l="1"/>
  <c r="L21" i="3" s="1"/>
  <c r="L4" i="3" s="1"/>
  <c r="L5" i="3" s="1"/>
</calcChain>
</file>

<file path=xl/sharedStrings.xml><?xml version="1.0" encoding="utf-8"?>
<sst xmlns="http://schemas.openxmlformats.org/spreadsheetml/2006/main" count="85" uniqueCount="62">
  <si>
    <t>DESCRIPCIÓN</t>
  </si>
  <si>
    <t>REGLAS</t>
  </si>
  <si>
    <t>1- PRODUCTO NUEVO</t>
  </si>
  <si>
    <t>Cada vez que ingresa un producto nuevo (con código nuevo)</t>
  </si>
  <si>
    <r>
      <t>1- Marca (fam/ser); 2- Antigüedad; 3- Copro; 4- Rotación; Origen (L-I); Rango de calidad;</t>
    </r>
    <r>
      <rPr>
        <i/>
        <sz val="11"/>
        <color rgb="FFFF0000"/>
        <rFont val="Aptos Narrow"/>
        <family val="2"/>
        <scheme val="minor"/>
      </rPr>
      <t xml:space="preserve"> Px competencia</t>
    </r>
    <r>
      <rPr>
        <sz val="11"/>
        <color theme="1"/>
        <rFont val="Aptos Narrow"/>
        <family val="2"/>
        <scheme val="minor"/>
      </rPr>
      <t>;</t>
    </r>
    <r>
      <rPr>
        <i/>
        <sz val="11"/>
        <color rgb="FF00B050"/>
        <rFont val="Aptos Narrow"/>
        <family val="2"/>
        <scheme val="minor"/>
      </rPr>
      <t>Disponibilidad en origen (U)</t>
    </r>
    <r>
      <rPr>
        <sz val="11"/>
        <color theme="1"/>
        <rFont val="Aptos Narrow"/>
        <family val="2"/>
        <scheme val="minor"/>
      </rPr>
      <t>;Marcas competidoras (internas); Históricos de consumo</t>
    </r>
  </si>
  <si>
    <t>2- CAMBIO DE COSTO</t>
  </si>
  <si>
    <t>Cada vez que ingresa un producto ya existente pero que presenta un cambio en el costo</t>
  </si>
  <si>
    <t>Reglas</t>
  </si>
  <si>
    <t>3- AJUSTE DE PRECIO</t>
  </si>
  <si>
    <t>Son ajustes por decisión unilateral de la empresa individual o grupal</t>
  </si>
  <si>
    <t>3.1-Por aumento de margen</t>
  </si>
  <si>
    <t>Por estrategia para incrementar el margen global de la empresa</t>
  </si>
  <si>
    <t xml:space="preserve">Porcentaje asignado a todo o parte del inventario como herramienta para afectar el margen con autorización de GG cuando supera el 25% de sku´s del total </t>
  </si>
  <si>
    <t>3.2-Por Competencia</t>
  </si>
  <si>
    <t>Por competir en el mercado según los parámetros que se designan versus la competencia</t>
  </si>
  <si>
    <r>
      <t xml:space="preserve">En repuestos: hasta un 10% por encima del precio de mercado (principal referencia RG) y mismo precio en el mismo producto. </t>
    </r>
    <r>
      <rPr>
        <b/>
        <sz val="11"/>
        <color theme="1"/>
        <rFont val="Aptos Narrow"/>
        <family val="2"/>
        <scheme val="minor"/>
      </rPr>
      <t>En servicios: Mismo precio de referencia SS y hasta un 20% por debajo contra AP</t>
    </r>
  </si>
  <si>
    <t>3.3-Por lado</t>
  </si>
  <si>
    <t>Por igualar precios de productos que tienen lado y que deben quedar igual</t>
  </si>
  <si>
    <t>Todo artículo que tiene lado, debe ser el mismo precio para ambos lados, indistintamente si el costo es diferente</t>
  </si>
  <si>
    <t>3.4- LIQUIDACIÓN</t>
  </si>
  <si>
    <t xml:space="preserve">El producto por daño que entra a liquidación se convertirá a la categoría 16, el producto asignado para liquidación se contertirá a categoría 12. </t>
  </si>
  <si>
    <t>1- El costo se mantiene; 2- El precio por los primeros tres meses será de costo más 1% y los siguientes tres meses el precio será de hasta el 25% del costo</t>
  </si>
  <si>
    <t>ELASTICIDAD</t>
  </si>
  <si>
    <t>12-hn042-560L</t>
  </si>
  <si>
    <t>16-hn042-560L</t>
  </si>
  <si>
    <t>04-hn042-560L</t>
  </si>
  <si>
    <t>04-hn042-560R</t>
  </si>
  <si>
    <t>04-hn042-560LA</t>
  </si>
  <si>
    <t>04-hn042-560RA</t>
  </si>
  <si>
    <t>01-HN042-010</t>
  </si>
  <si>
    <t>01-HN042-011</t>
  </si>
  <si>
    <t>PRODUCTO ACTUAL QUE CAMBIA EL COSTO</t>
  </si>
  <si>
    <t>actual</t>
  </si>
  <si>
    <t>cambio 1</t>
  </si>
  <si>
    <t>cambio 2</t>
  </si>
  <si>
    <t>cambio 3</t>
  </si>
  <si>
    <t>cambio 4</t>
  </si>
  <si>
    <t>cambio 5</t>
  </si>
  <si>
    <t>cambio 6</t>
  </si>
  <si>
    <t>cambio 7</t>
  </si>
  <si>
    <t>cambio 8</t>
  </si>
  <si>
    <t>cambio 9</t>
  </si>
  <si>
    <t>cambio 10</t>
  </si>
  <si>
    <t>Costo</t>
  </si>
  <si>
    <t>Precio</t>
  </si>
  <si>
    <t>Mk up</t>
  </si>
  <si>
    <t>%VA últ vez</t>
  </si>
  <si>
    <t>Techo %VA</t>
  </si>
  <si>
    <t>Piso %VA</t>
  </si>
  <si>
    <t>Techo Mkup</t>
  </si>
  <si>
    <t>Piso Mkup</t>
  </si>
  <si>
    <t>Filtro 1</t>
  </si>
  <si>
    <t>px 1</t>
  </si>
  <si>
    <t>sube el costo</t>
  </si>
  <si>
    <t>mkup 1</t>
  </si>
  <si>
    <t>mkup protec</t>
  </si>
  <si>
    <t>px2</t>
  </si>
  <si>
    <t>px1 ó px2</t>
  </si>
  <si>
    <t>Filtro 2</t>
  </si>
  <si>
    <t>baja el costo</t>
  </si>
  <si>
    <t>ACLARACIÓN:</t>
  </si>
  <si>
    <t>NO ES EL MODELO DEFINITIVO, PERO SIRVE COMO IDEA DE LO QUE SE BUSCA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</si>
</sst>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₡&quot;#,##0.00"/>
    <numFmt numFmtId="165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color rgb="FF00B05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2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2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0" fillId="4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1" applyNumberFormat="1" applyFont="1" applyBorder="1"/>
    <xf numFmtId="10" fontId="0" fillId="0" borderId="1" xfId="1" applyNumberFormat="1" applyFont="1" applyBorder="1" applyAlignment="1">
      <alignment horizontal="center"/>
    </xf>
    <xf numFmtId="10" fontId="0" fillId="4" borderId="1" xfId="1" applyNumberFormat="1" applyFont="1" applyFill="1" applyBorder="1" applyAlignment="1">
      <alignment horizontal="center"/>
    </xf>
    <xf numFmtId="0" fontId="0" fillId="0" borderId="2" xfId="0" applyBorder="1"/>
    <xf numFmtId="10" fontId="0" fillId="5" borderId="3" xfId="1" applyNumberFormat="1" applyFont="1" applyFill="1" applyBorder="1"/>
    <xf numFmtId="0" fontId="0" fillId="6" borderId="3" xfId="0" applyFill="1" applyBorder="1" applyAlignment="1">
      <alignment horizontal="center"/>
    </xf>
    <xf numFmtId="0" fontId="0" fillId="0" borderId="4" xfId="0" applyBorder="1"/>
    <xf numFmtId="10" fontId="0" fillId="5" borderId="5" xfId="1" applyNumberFormat="1" applyFont="1" applyFill="1" applyBorder="1"/>
    <xf numFmtId="0" fontId="0" fillId="6" borderId="5" xfId="0" applyFill="1" applyBorder="1" applyAlignment="1">
      <alignment horizontal="center"/>
    </xf>
    <xf numFmtId="0" fontId="2" fillId="0" borderId="0" xfId="0" applyFont="1" applyAlignment="1">
      <alignment horizontal="right"/>
    </xf>
    <xf numFmtId="9" fontId="0" fillId="0" borderId="0" xfId="1" applyFont="1"/>
    <xf numFmtId="10" fontId="0" fillId="0" borderId="0" xfId="1" applyNumberFormat="1" applyFont="1"/>
    <xf numFmtId="0" fontId="6" fillId="0" borderId="6" xfId="0" applyFont="1" applyBorder="1"/>
    <xf numFmtId="164" fontId="6" fillId="0" borderId="7" xfId="0" applyNumberFormat="1" applyFont="1" applyBorder="1"/>
    <xf numFmtId="164" fontId="6" fillId="4" borderId="7" xfId="0" applyNumberFormat="1" applyFont="1" applyFill="1" applyBorder="1" applyAlignment="1">
      <alignment horizontal="center"/>
    </xf>
    <xf numFmtId="0" fontId="6" fillId="0" borderId="8" xfId="0" applyFont="1" applyBorder="1"/>
    <xf numFmtId="164" fontId="6" fillId="0" borderId="1" xfId="0" applyNumberFormat="1" applyFont="1" applyBorder="1"/>
    <xf numFmtId="164" fontId="6" fillId="0" borderId="1" xfId="0" applyNumberFormat="1" applyFont="1" applyBorder="1" applyAlignment="1">
      <alignment horizontal="center"/>
    </xf>
    <xf numFmtId="0" fontId="6" fillId="0" borderId="4" xfId="0" applyFont="1" applyBorder="1"/>
    <xf numFmtId="10" fontId="6" fillId="0" borderId="5" xfId="1" applyNumberFormat="1" applyFont="1" applyBorder="1"/>
    <xf numFmtId="10" fontId="6" fillId="0" borderId="5" xfId="1" applyNumberFormat="1" applyFont="1" applyBorder="1" applyAlignment="1">
      <alignment horizontal="center"/>
    </xf>
    <xf numFmtId="0" fontId="6" fillId="0" borderId="9" xfId="0" applyFont="1" applyBorder="1"/>
    <xf numFmtId="10" fontId="6" fillId="0" borderId="10" xfId="1" applyNumberFormat="1" applyFont="1" applyBorder="1"/>
    <xf numFmtId="10" fontId="6" fillId="0" borderId="10" xfId="1" applyNumberFormat="1" applyFont="1" applyBorder="1" applyAlignment="1">
      <alignment horizontal="center"/>
    </xf>
    <xf numFmtId="0" fontId="0" fillId="0" borderId="6" xfId="0" applyBorder="1"/>
    <xf numFmtId="10" fontId="6" fillId="5" borderId="7" xfId="1" applyNumberFormat="1" applyFont="1" applyFill="1" applyBorder="1"/>
    <xf numFmtId="0" fontId="7" fillId="6" borderId="7" xfId="0" applyFont="1" applyFill="1" applyBorder="1" applyAlignment="1">
      <alignment horizontal="center"/>
    </xf>
    <xf numFmtId="10" fontId="6" fillId="5" borderId="5" xfId="1" applyNumberFormat="1" applyFont="1" applyFill="1" applyBorder="1"/>
    <xf numFmtId="0" fontId="7" fillId="6" borderId="5" xfId="0" applyFont="1" applyFill="1" applyBorder="1" applyAlignment="1">
      <alignment horizontal="center"/>
    </xf>
    <xf numFmtId="10" fontId="6" fillId="0" borderId="7" xfId="1" applyNumberFormat="1" applyFont="1" applyFill="1" applyBorder="1"/>
    <xf numFmtId="0" fontId="7" fillId="4" borderId="7" xfId="0" applyFont="1" applyFill="1" applyBorder="1" applyAlignment="1">
      <alignment horizontal="center"/>
    </xf>
    <xf numFmtId="165" fontId="7" fillId="4" borderId="7" xfId="0" applyNumberFormat="1" applyFont="1" applyFill="1" applyBorder="1" applyAlignment="1">
      <alignment horizontal="center"/>
    </xf>
    <xf numFmtId="10" fontId="6" fillId="0" borderId="5" xfId="1" applyNumberFormat="1" applyFont="1" applyFill="1" applyBorder="1"/>
    <xf numFmtId="0" fontId="7" fillId="4" borderId="5" xfId="0" applyFont="1" applyFill="1" applyBorder="1" applyAlignment="1">
      <alignment horizontal="center"/>
    </xf>
    <xf numFmtId="165" fontId="7" fillId="4" borderId="5" xfId="0" applyNumberFormat="1" applyFont="1" applyFill="1" applyBorder="1" applyAlignment="1">
      <alignment horizontal="center"/>
    </xf>
    <xf numFmtId="0" fontId="8" fillId="2" borderId="0" xfId="0" applyFont="1" applyFill="1" applyAlignment="1">
      <alignment horizontal="left"/>
    </xf>
    <xf numFmtId="164" fontId="7" fillId="2" borderId="0" xfId="0" applyNumberFormat="1" applyFont="1" applyFill="1"/>
    <xf numFmtId="0" fontId="8" fillId="2" borderId="0" xfId="0" applyFont="1" applyFill="1" applyAlignment="1">
      <alignment horizontal="right"/>
    </xf>
    <xf numFmtId="10" fontId="7" fillId="2" borderId="0" xfId="1" applyNumberFormat="1" applyFont="1" applyFill="1"/>
    <xf numFmtId="0" fontId="8" fillId="7" borderId="0" xfId="0" applyFont="1" applyFill="1" applyAlignment="1">
      <alignment horizontal="left"/>
    </xf>
    <xf numFmtId="164" fontId="7" fillId="7" borderId="0" xfId="0" applyNumberFormat="1" applyFont="1" applyFill="1"/>
    <xf numFmtId="0" fontId="8" fillId="7" borderId="0" xfId="0" applyFont="1" applyFill="1" applyAlignment="1">
      <alignment horizontal="right"/>
    </xf>
    <xf numFmtId="10" fontId="7" fillId="7" borderId="0" xfId="1" applyNumberFormat="1" applyFont="1" applyFill="1"/>
    <xf numFmtId="0" fontId="8" fillId="0" borderId="0" xfId="0" applyFont="1" applyAlignment="1">
      <alignment horizontal="right"/>
    </xf>
    <xf numFmtId="164" fontId="7" fillId="0" borderId="0" xfId="0" applyNumberFormat="1" applyFont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6BFC-6753-4BE5-A9A2-C8014EF97FA3}">
  <dimension ref="A1:C19"/>
  <sheetViews>
    <sheetView workbookViewId="0">
      <selection activeCell="B11" sqref="B11"/>
    </sheetView>
  </sheetViews>
  <sheetFormatPr baseColWidth="10" defaultRowHeight="14.4" x14ac:dyDescent="0.3"/>
  <cols>
    <col min="1" max="1" width="25.109375" style="10" bestFit="1" customWidth="1"/>
    <col min="2" max="2" width="54.5546875" style="11" customWidth="1"/>
    <col min="3" max="3" width="53.5546875" style="11" customWidth="1"/>
  </cols>
  <sheetData>
    <row r="1" spans="1:3" x14ac:dyDescent="0.3">
      <c r="A1" s="1"/>
      <c r="B1" s="2" t="s">
        <v>0</v>
      </c>
      <c r="C1" s="2" t="s">
        <v>1</v>
      </c>
    </row>
    <row r="2" spans="1:3" ht="43.2" x14ac:dyDescent="0.3">
      <c r="A2" s="3" t="s">
        <v>2</v>
      </c>
      <c r="B2" s="4" t="s">
        <v>3</v>
      </c>
      <c r="C2" s="5" t="s">
        <v>4</v>
      </c>
    </row>
    <row r="3" spans="1:3" ht="28.8" x14ac:dyDescent="0.3">
      <c r="A3" s="3" t="s">
        <v>5</v>
      </c>
      <c r="B3" s="5" t="s">
        <v>6</v>
      </c>
      <c r="C3" s="6" t="s">
        <v>7</v>
      </c>
    </row>
    <row r="4" spans="1:3" ht="28.8" x14ac:dyDescent="0.3">
      <c r="A4" s="7" t="s">
        <v>8</v>
      </c>
      <c r="B4" s="5" t="s">
        <v>9</v>
      </c>
      <c r="C4" s="8"/>
    </row>
    <row r="5" spans="1:3" ht="43.2" x14ac:dyDescent="0.3">
      <c r="A5" s="7" t="s">
        <v>10</v>
      </c>
      <c r="B5" s="5" t="s">
        <v>11</v>
      </c>
      <c r="C5" s="5" t="s">
        <v>12</v>
      </c>
    </row>
    <row r="6" spans="1:3" ht="57.6" x14ac:dyDescent="0.3">
      <c r="A6" s="7" t="s">
        <v>13</v>
      </c>
      <c r="B6" s="5" t="s">
        <v>14</v>
      </c>
      <c r="C6" s="9" t="s">
        <v>15</v>
      </c>
    </row>
    <row r="7" spans="1:3" ht="28.8" x14ac:dyDescent="0.3">
      <c r="A7" s="7" t="s">
        <v>16</v>
      </c>
      <c r="B7" s="5" t="s">
        <v>17</v>
      </c>
      <c r="C7" s="5" t="s">
        <v>18</v>
      </c>
    </row>
    <row r="8" spans="1:3" ht="43.2" x14ac:dyDescent="0.3">
      <c r="A8" s="7" t="s">
        <v>19</v>
      </c>
      <c r="B8" s="5" t="s">
        <v>20</v>
      </c>
      <c r="C8" s="5" t="s">
        <v>21</v>
      </c>
    </row>
    <row r="10" spans="1:3" x14ac:dyDescent="0.3">
      <c r="A10" s="10" t="s">
        <v>22</v>
      </c>
      <c r="B10" s="11" t="s">
        <v>23</v>
      </c>
    </row>
    <row r="11" spans="1:3" x14ac:dyDescent="0.3">
      <c r="B11" s="11" t="s">
        <v>24</v>
      </c>
    </row>
    <row r="12" spans="1:3" x14ac:dyDescent="0.3">
      <c r="B12" s="11" t="s">
        <v>25</v>
      </c>
    </row>
    <row r="13" spans="1:3" x14ac:dyDescent="0.3">
      <c r="B13" s="11" t="s">
        <v>26</v>
      </c>
    </row>
    <row r="15" spans="1:3" x14ac:dyDescent="0.3">
      <c r="B15" s="11" t="s">
        <v>27</v>
      </c>
    </row>
    <row r="16" spans="1:3" x14ac:dyDescent="0.3">
      <c r="B16" s="11" t="s">
        <v>28</v>
      </c>
    </row>
    <row r="18" spans="2:2" x14ac:dyDescent="0.3">
      <c r="B18" s="11" t="s">
        <v>29</v>
      </c>
    </row>
    <row r="19" spans="2:2" x14ac:dyDescent="0.3">
      <c r="B19" s="11" t="s">
        <v>30</v>
      </c>
    </row>
  </sheetData>
  <hyperlinks>
    <hyperlink ref="A3" location="CambioCv!A1" display="2- CAMBIO DE COSTO" xr:uid="{0E8D9685-2B24-4C24-866E-B039BDCE8056}"/>
    <hyperlink ref="A2" location="Pnuevo!A1" display="1- PRODUCTO NUEVO" xr:uid="{D7A7019F-AB1B-4CBC-AB92-74B7162ECFBD}"/>
    <hyperlink ref="C3" location="CambioCv!A1" display="Reglas" xr:uid="{EC0A54ED-48B7-4DC1-93E7-DFCA2655321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D14B-941C-47E4-A66F-5293EF413F6A}">
  <dimension ref="A1:L10"/>
  <sheetViews>
    <sheetView workbookViewId="0">
      <selection activeCell="D15" sqref="D15"/>
    </sheetView>
  </sheetViews>
  <sheetFormatPr baseColWidth="10" defaultRowHeight="14.4" x14ac:dyDescent="0.3"/>
  <sheetData>
    <row r="1" spans="1:12" x14ac:dyDescent="0.3">
      <c r="A1" s="12" t="s">
        <v>31</v>
      </c>
      <c r="B1" s="13"/>
      <c r="C1" s="14"/>
    </row>
    <row r="2" spans="1:12" x14ac:dyDescent="0.3">
      <c r="A2" s="15"/>
      <c r="B2" s="16" t="s">
        <v>32</v>
      </c>
      <c r="C2" s="17" t="s">
        <v>33</v>
      </c>
      <c r="D2" s="17" t="s">
        <v>34</v>
      </c>
      <c r="E2" s="17" t="s">
        <v>35</v>
      </c>
      <c r="F2" s="17" t="s">
        <v>36</v>
      </c>
      <c r="G2" s="17" t="s">
        <v>37</v>
      </c>
      <c r="H2" s="17" t="s">
        <v>38</v>
      </c>
      <c r="I2" s="17" t="s">
        <v>39</v>
      </c>
      <c r="J2" s="17" t="s">
        <v>40</v>
      </c>
      <c r="K2" s="17" t="s">
        <v>41</v>
      </c>
      <c r="L2" s="17" t="s">
        <v>42</v>
      </c>
    </row>
    <row r="3" spans="1:12" x14ac:dyDescent="0.3">
      <c r="A3" s="18" t="s">
        <v>43</v>
      </c>
      <c r="B3" s="19">
        <v>100</v>
      </c>
      <c r="C3" s="20">
        <v>101</v>
      </c>
      <c r="D3" s="20">
        <v>102</v>
      </c>
      <c r="E3" s="20">
        <v>103</v>
      </c>
      <c r="F3" s="20">
        <v>104</v>
      </c>
      <c r="G3" s="20">
        <v>105</v>
      </c>
      <c r="H3" s="20">
        <v>106</v>
      </c>
      <c r="I3" s="20">
        <v>107</v>
      </c>
      <c r="J3" s="20">
        <v>108</v>
      </c>
      <c r="K3" s="20">
        <v>109</v>
      </c>
      <c r="L3" s="20">
        <v>110</v>
      </c>
    </row>
    <row r="4" spans="1:12" x14ac:dyDescent="0.3">
      <c r="A4" s="18" t="s">
        <v>44</v>
      </c>
      <c r="B4" s="19">
        <v>180</v>
      </c>
      <c r="C4" s="21">
        <f>+IF(C6&lt;=$B7,IF(C6&gt;=$B8,B4,(C3*(1+B5))))</f>
        <v>180</v>
      </c>
      <c r="D4" s="21">
        <f t="shared" ref="D4" si="0">+IF(D7="En rango",IF(D8="En rango",C4,(D3*(1+C5))))</f>
        <v>180</v>
      </c>
      <c r="E4" s="21">
        <f>+IF(E7="En rango",IF(E8="En rango",D4),(E3*(1+D5)))</f>
        <v>180</v>
      </c>
      <c r="F4" s="21">
        <f t="shared" ref="F4:L4" si="1">+IF(F7="En rango",IF(F8="En rango",E4),(F3*(1+E5)))</f>
        <v>180</v>
      </c>
      <c r="G4" s="21">
        <f t="shared" si="1"/>
        <v>180</v>
      </c>
      <c r="H4" s="21">
        <f t="shared" si="1"/>
        <v>180</v>
      </c>
      <c r="I4" s="21">
        <f>+IF(I7="En rango",IF(I8="En rango",H4),(I3*(1+H5)))</f>
        <v>180</v>
      </c>
      <c r="J4" s="21">
        <f t="shared" si="1"/>
        <v>180</v>
      </c>
      <c r="K4" s="21">
        <f>+IF(K7="En rango",IF(K8="En rango",J4),(K3*(1+J5)))</f>
        <v>180</v>
      </c>
      <c r="L4" s="21">
        <f t="shared" si="1"/>
        <v>180</v>
      </c>
    </row>
    <row r="5" spans="1:12" x14ac:dyDescent="0.3">
      <c r="A5" s="18" t="s">
        <v>45</v>
      </c>
      <c r="B5" s="22">
        <f>+(B4-B3)/B3</f>
        <v>0.8</v>
      </c>
      <c r="C5" s="23">
        <f>+(C4-C3)/C3</f>
        <v>0.78217821782178221</v>
      </c>
      <c r="D5" s="23">
        <f t="shared" ref="D5:L5" si="2">+(D4-D3)/D3</f>
        <v>0.76470588235294112</v>
      </c>
      <c r="E5" s="23">
        <f t="shared" si="2"/>
        <v>0.74757281553398058</v>
      </c>
      <c r="F5" s="23">
        <f t="shared" si="2"/>
        <v>0.73076923076923073</v>
      </c>
      <c r="G5" s="23">
        <f t="shared" si="2"/>
        <v>0.7142857142857143</v>
      </c>
      <c r="H5" s="23">
        <f t="shared" si="2"/>
        <v>0.69811320754716977</v>
      </c>
      <c r="I5" s="23">
        <f t="shared" si="2"/>
        <v>0.68224299065420557</v>
      </c>
      <c r="J5" s="23">
        <f t="shared" si="2"/>
        <v>0.66666666666666663</v>
      </c>
      <c r="K5" s="23">
        <f t="shared" si="2"/>
        <v>0.65137614678899081</v>
      </c>
      <c r="L5" s="24">
        <f t="shared" si="2"/>
        <v>0.63636363636363635</v>
      </c>
    </row>
    <row r="6" spans="1:12" x14ac:dyDescent="0.3">
      <c r="A6" s="18" t="s">
        <v>46</v>
      </c>
      <c r="B6" s="22"/>
      <c r="C6" s="23">
        <f>+(C3-B3)/B3</f>
        <v>0.01</v>
      </c>
      <c r="D6" s="23">
        <f>+(D3-C3)/C3</f>
        <v>9.9009900990099011E-3</v>
      </c>
      <c r="E6" s="23">
        <f t="shared" ref="E6:L6" si="3">+(E3-D3)/D3</f>
        <v>9.8039215686274508E-3</v>
      </c>
      <c r="F6" s="23">
        <f t="shared" si="3"/>
        <v>9.7087378640776691E-3</v>
      </c>
      <c r="G6" s="23">
        <f t="shared" si="3"/>
        <v>9.6153846153846159E-3</v>
      </c>
      <c r="H6" s="23">
        <f t="shared" si="3"/>
        <v>9.5238095238095247E-3</v>
      </c>
      <c r="I6" s="23">
        <f t="shared" si="3"/>
        <v>9.433962264150943E-3</v>
      </c>
      <c r="J6" s="23">
        <f t="shared" si="3"/>
        <v>9.3457943925233638E-3</v>
      </c>
      <c r="K6" s="23">
        <f t="shared" si="3"/>
        <v>9.2592592592592587E-3</v>
      </c>
      <c r="L6" s="23">
        <f t="shared" si="3"/>
        <v>9.1743119266055051E-3</v>
      </c>
    </row>
    <row r="7" spans="1:12" x14ac:dyDescent="0.3">
      <c r="A7" s="25" t="s">
        <v>47</v>
      </c>
      <c r="B7" s="26">
        <v>0.1</v>
      </c>
      <c r="C7" s="27" t="str">
        <f>+IF(C6&gt;$B7,"Supera","En rango")</f>
        <v>En rango</v>
      </c>
      <c r="D7" s="27" t="str">
        <f t="shared" ref="D7:L7" si="4">+IF(D6&gt;$B7,"Supera","En rango")</f>
        <v>En rango</v>
      </c>
      <c r="E7" s="27" t="str">
        <f t="shared" si="4"/>
        <v>En rango</v>
      </c>
      <c r="F7" s="27" t="str">
        <f t="shared" si="4"/>
        <v>En rango</v>
      </c>
      <c r="G7" s="27" t="str">
        <f t="shared" si="4"/>
        <v>En rango</v>
      </c>
      <c r="H7" s="27" t="str">
        <f t="shared" si="4"/>
        <v>En rango</v>
      </c>
      <c r="I7" s="27" t="str">
        <f t="shared" si="4"/>
        <v>En rango</v>
      </c>
      <c r="J7" s="27" t="str">
        <f t="shared" si="4"/>
        <v>En rango</v>
      </c>
      <c r="K7" s="27" t="str">
        <f t="shared" si="4"/>
        <v>En rango</v>
      </c>
      <c r="L7" s="27" t="str">
        <f t="shared" si="4"/>
        <v>En rango</v>
      </c>
    </row>
    <row r="8" spans="1:12" ht="15" thickBot="1" x14ac:dyDescent="0.35">
      <c r="A8" s="28" t="s">
        <v>48</v>
      </c>
      <c r="B8" s="29">
        <v>-0.99</v>
      </c>
      <c r="C8" s="30" t="str">
        <f>+IF(C6&lt;$B8,"Por debajo","En rango")</f>
        <v>En rango</v>
      </c>
      <c r="D8" s="30" t="str">
        <f t="shared" ref="D8:L8" si="5">+IF(D6&lt;$B8,"Por debajo","En rango")</f>
        <v>En rango</v>
      </c>
      <c r="E8" s="30" t="str">
        <f t="shared" si="5"/>
        <v>En rango</v>
      </c>
      <c r="F8" s="30" t="str">
        <f t="shared" si="5"/>
        <v>En rango</v>
      </c>
      <c r="G8" s="30" t="str">
        <f t="shared" si="5"/>
        <v>En rango</v>
      </c>
      <c r="H8" s="30" t="str">
        <f t="shared" si="5"/>
        <v>En rango</v>
      </c>
      <c r="I8" s="30" t="str">
        <f t="shared" si="5"/>
        <v>En rango</v>
      </c>
      <c r="J8" s="30" t="str">
        <f t="shared" si="5"/>
        <v>En rango</v>
      </c>
      <c r="K8" s="30" t="str">
        <f t="shared" si="5"/>
        <v>En rango</v>
      </c>
      <c r="L8" s="30" t="str">
        <f t="shared" si="5"/>
        <v>En rango</v>
      </c>
    </row>
    <row r="9" spans="1:12" x14ac:dyDescent="0.3">
      <c r="A9" s="31"/>
      <c r="B9" s="13"/>
      <c r="C9" s="13"/>
      <c r="D9" s="13"/>
      <c r="E9" s="13"/>
      <c r="F9" s="13"/>
      <c r="G9" s="13"/>
      <c r="H9" s="13"/>
      <c r="I9" s="13">
        <f>+I3*(1+H5)</f>
        <v>181.69811320754718</v>
      </c>
      <c r="J9" s="13">
        <f t="shared" ref="J9:L9" si="6">+J3*(1+I10)</f>
        <v>183.39622641509436</v>
      </c>
      <c r="K9" s="13">
        <f t="shared" si="6"/>
        <v>185.09433962264151</v>
      </c>
      <c r="L9" s="13">
        <f t="shared" si="6"/>
        <v>186.79245283018869</v>
      </c>
    </row>
    <row r="10" spans="1:12" x14ac:dyDescent="0.3">
      <c r="A10" s="31"/>
      <c r="B10" s="13"/>
      <c r="C10" s="32"/>
      <c r="D10" s="32"/>
      <c r="E10" s="32"/>
      <c r="F10" s="32"/>
      <c r="G10" s="32"/>
      <c r="H10" s="33"/>
      <c r="I10" s="33">
        <f t="shared" ref="I10:L10" si="7">+(I9-I3)/I3</f>
        <v>0.69811320754716988</v>
      </c>
      <c r="J10" s="33">
        <f t="shared" si="7"/>
        <v>0.69811320754716999</v>
      </c>
      <c r="K10" s="33">
        <f t="shared" si="7"/>
        <v>0.69811320754716988</v>
      </c>
      <c r="L10" s="33">
        <f t="shared" si="7"/>
        <v>0.69811320754716999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8585-B268-4A19-B78C-B03BD96EC5B1}">
  <dimension ref="A1:N22"/>
  <sheetViews>
    <sheetView tabSelected="1" workbookViewId="0">
      <selection activeCell="N14" sqref="N14"/>
    </sheetView>
  </sheetViews>
  <sheetFormatPr baseColWidth="10" defaultRowHeight="14.4" x14ac:dyDescent="0.3"/>
  <cols>
    <col min="1" max="1" width="16" customWidth="1"/>
    <col min="2" max="2" width="10.5546875" bestFit="1" customWidth="1"/>
    <col min="3" max="4" width="10.109375" bestFit="1" customWidth="1"/>
    <col min="5" max="5" width="10.21875" bestFit="1" customWidth="1"/>
    <col min="6" max="12" width="10.109375" bestFit="1" customWidth="1"/>
  </cols>
  <sheetData>
    <row r="1" spans="1:14" x14ac:dyDescent="0.3">
      <c r="A1" s="12" t="s">
        <v>31</v>
      </c>
      <c r="B1" s="13"/>
      <c r="C1" s="14"/>
    </row>
    <row r="2" spans="1:14" ht="15" thickBot="1" x14ac:dyDescent="0.35">
      <c r="A2" s="15"/>
      <c r="B2" s="16" t="s">
        <v>32</v>
      </c>
      <c r="C2" s="17" t="s">
        <v>33</v>
      </c>
      <c r="D2" s="17" t="s">
        <v>34</v>
      </c>
      <c r="E2" s="17" t="s">
        <v>35</v>
      </c>
      <c r="F2" s="17" t="s">
        <v>36</v>
      </c>
      <c r="G2" s="17" t="s">
        <v>37</v>
      </c>
      <c r="H2" s="17" t="s">
        <v>38</v>
      </c>
      <c r="I2" s="17" t="s">
        <v>39</v>
      </c>
      <c r="J2" s="17" t="s">
        <v>40</v>
      </c>
      <c r="K2" s="17" t="s">
        <v>41</v>
      </c>
      <c r="L2" s="17" t="s">
        <v>42</v>
      </c>
    </row>
    <row r="3" spans="1:14" ht="18" x14ac:dyDescent="0.35">
      <c r="A3" s="34" t="s">
        <v>43</v>
      </c>
      <c r="B3" s="35">
        <v>100</v>
      </c>
      <c r="C3" s="36">
        <v>101</v>
      </c>
      <c r="D3" s="36">
        <v>102</v>
      </c>
      <c r="E3" s="36">
        <v>80</v>
      </c>
      <c r="F3" s="36">
        <v>85</v>
      </c>
      <c r="G3" s="36">
        <v>40</v>
      </c>
      <c r="H3" s="36">
        <v>60</v>
      </c>
      <c r="I3" s="36">
        <v>80</v>
      </c>
      <c r="J3" s="36">
        <v>100</v>
      </c>
      <c r="K3" s="36">
        <v>120</v>
      </c>
      <c r="L3" s="36">
        <v>90</v>
      </c>
    </row>
    <row r="4" spans="1:14" ht="18" x14ac:dyDescent="0.35">
      <c r="A4" s="37" t="s">
        <v>44</v>
      </c>
      <c r="B4" s="38">
        <v>180</v>
      </c>
      <c r="C4" s="39">
        <f>+C21</f>
        <v>180</v>
      </c>
      <c r="D4" s="39">
        <f t="shared" ref="D4:L4" si="0">+D21</f>
        <v>180</v>
      </c>
      <c r="E4" s="39">
        <f t="shared" si="0"/>
        <v>148</v>
      </c>
      <c r="F4" s="39">
        <f>+F3*(1+E10)</f>
        <v>152.99999999999997</v>
      </c>
      <c r="G4" s="39">
        <f t="shared" si="0"/>
        <v>74</v>
      </c>
      <c r="H4" s="39">
        <f t="shared" si="0"/>
        <v>105</v>
      </c>
      <c r="I4" s="39">
        <f t="shared" si="0"/>
        <v>140</v>
      </c>
      <c r="J4" s="39">
        <f t="shared" si="0"/>
        <v>175</v>
      </c>
      <c r="K4" s="39">
        <f t="shared" si="0"/>
        <v>210</v>
      </c>
      <c r="L4" s="39">
        <f t="shared" si="0"/>
        <v>166.5</v>
      </c>
    </row>
    <row r="5" spans="1:14" ht="18.600000000000001" thickBot="1" x14ac:dyDescent="0.4">
      <c r="A5" s="40" t="s">
        <v>45</v>
      </c>
      <c r="B5" s="41">
        <f>+(B4-B3)/B3</f>
        <v>0.8</v>
      </c>
      <c r="C5" s="42">
        <f>+(C4-C3)/C3</f>
        <v>0.78217821782178221</v>
      </c>
      <c r="D5" s="42">
        <f t="shared" ref="D5:L5" si="1">+(D4-D3)/D3</f>
        <v>0.76470588235294112</v>
      </c>
      <c r="E5" s="42">
        <f t="shared" si="1"/>
        <v>0.85</v>
      </c>
      <c r="F5" s="42">
        <f t="shared" si="1"/>
        <v>0.79999999999999971</v>
      </c>
      <c r="G5" s="42">
        <f t="shared" si="1"/>
        <v>0.85</v>
      </c>
      <c r="H5" s="42">
        <f t="shared" si="1"/>
        <v>0.75</v>
      </c>
      <c r="I5" s="42">
        <f t="shared" si="1"/>
        <v>0.75</v>
      </c>
      <c r="J5" s="42">
        <f t="shared" si="1"/>
        <v>0.75</v>
      </c>
      <c r="K5" s="42">
        <f t="shared" si="1"/>
        <v>0.75</v>
      </c>
      <c r="L5" s="42">
        <f t="shared" si="1"/>
        <v>0.85</v>
      </c>
    </row>
    <row r="6" spans="1:14" ht="18.600000000000001" thickBot="1" x14ac:dyDescent="0.4">
      <c r="A6" s="43" t="s">
        <v>46</v>
      </c>
      <c r="B6" s="44"/>
      <c r="C6" s="45">
        <f>+(C3-B3)/B3</f>
        <v>0.01</v>
      </c>
      <c r="D6" s="45">
        <f>+(D3-C3)/C3</f>
        <v>9.9009900990099011E-3</v>
      </c>
      <c r="E6" s="45">
        <f t="shared" ref="E6:L6" si="2">+(E3-D3)/D3</f>
        <v>-0.21568627450980393</v>
      </c>
      <c r="F6" s="45">
        <f t="shared" si="2"/>
        <v>6.25E-2</v>
      </c>
      <c r="G6" s="45">
        <f t="shared" si="2"/>
        <v>-0.52941176470588236</v>
      </c>
      <c r="H6" s="45">
        <f t="shared" si="2"/>
        <v>0.5</v>
      </c>
      <c r="I6" s="45">
        <f t="shared" si="2"/>
        <v>0.33333333333333331</v>
      </c>
      <c r="J6" s="45">
        <f t="shared" si="2"/>
        <v>0.25</v>
      </c>
      <c r="K6" s="45">
        <f t="shared" si="2"/>
        <v>0.2</v>
      </c>
      <c r="L6" s="45">
        <f t="shared" si="2"/>
        <v>-0.25</v>
      </c>
    </row>
    <row r="7" spans="1:14" ht="18" x14ac:dyDescent="0.35">
      <c r="A7" s="46" t="s">
        <v>47</v>
      </c>
      <c r="B7" s="47">
        <v>0.1</v>
      </c>
      <c r="C7" s="48" t="str">
        <f>+IF(C6&gt;$B7,"Supera","En rango")</f>
        <v>En rango</v>
      </c>
      <c r="D7" s="48" t="str">
        <f t="shared" ref="D7:L7" si="3">+IF(D6&gt;$B7,"Supera","En rango")</f>
        <v>En rango</v>
      </c>
      <c r="E7" s="48" t="str">
        <f t="shared" si="3"/>
        <v>En rango</v>
      </c>
      <c r="F7" s="48" t="str">
        <f t="shared" si="3"/>
        <v>En rango</v>
      </c>
      <c r="G7" s="48" t="str">
        <f t="shared" si="3"/>
        <v>En rango</v>
      </c>
      <c r="H7" s="48" t="str">
        <f t="shared" si="3"/>
        <v>Supera</v>
      </c>
      <c r="I7" s="48" t="str">
        <f t="shared" si="3"/>
        <v>Supera</v>
      </c>
      <c r="J7" s="48" t="str">
        <f t="shared" si="3"/>
        <v>Supera</v>
      </c>
      <c r="K7" s="48" t="str">
        <f t="shared" si="3"/>
        <v>Supera</v>
      </c>
      <c r="L7" s="48" t="str">
        <f t="shared" si="3"/>
        <v>En rango</v>
      </c>
    </row>
    <row r="8" spans="1:14" ht="18.600000000000001" thickBot="1" x14ac:dyDescent="0.4">
      <c r="A8" s="28" t="s">
        <v>48</v>
      </c>
      <c r="B8" s="49">
        <v>-0.1</v>
      </c>
      <c r="C8" s="50" t="str">
        <f>+IF(C6&lt;$B8,"Por debajo","En rango")</f>
        <v>En rango</v>
      </c>
      <c r="D8" s="50" t="str">
        <f t="shared" ref="D8:L8" si="4">+IF(D6&lt;$B8,"Por debajo","En rango")</f>
        <v>En rango</v>
      </c>
      <c r="E8" s="50" t="str">
        <f t="shared" si="4"/>
        <v>Por debajo</v>
      </c>
      <c r="F8" s="50" t="str">
        <f t="shared" si="4"/>
        <v>En rango</v>
      </c>
      <c r="G8" s="50" t="str">
        <f t="shared" si="4"/>
        <v>Por debajo</v>
      </c>
      <c r="H8" s="50" t="str">
        <f t="shared" si="4"/>
        <v>En rango</v>
      </c>
      <c r="I8" s="50" t="str">
        <f t="shared" si="4"/>
        <v>En rango</v>
      </c>
      <c r="J8" s="50" t="str">
        <f t="shared" si="4"/>
        <v>En rango</v>
      </c>
      <c r="K8" s="50" t="str">
        <f t="shared" si="4"/>
        <v>En rango</v>
      </c>
      <c r="L8" s="50" t="str">
        <f t="shared" si="4"/>
        <v>Por debajo</v>
      </c>
      <c r="N8" t="s">
        <v>60</v>
      </c>
    </row>
    <row r="9" spans="1:14" ht="18" x14ac:dyDescent="0.35">
      <c r="A9" s="46" t="s">
        <v>49</v>
      </c>
      <c r="B9" s="51">
        <v>0.85</v>
      </c>
      <c r="C9" s="52" t="str">
        <f>+IF(((B4-C3)/C3)&gt;$B9,"supera","En rango")</f>
        <v>En rango</v>
      </c>
      <c r="D9" s="52" t="str">
        <f t="shared" ref="D9:L9" si="5">+IF(((C4-D3)/D3)&gt;$B9,"supera","En rango")</f>
        <v>En rango</v>
      </c>
      <c r="E9" s="53">
        <f>+E5+5%</f>
        <v>0.9</v>
      </c>
      <c r="F9" s="52" t="str">
        <f>+IF(((E4-F3)/F3)&gt;$B9,"supera","En rango")</f>
        <v>En rango</v>
      </c>
      <c r="G9" s="52" t="str">
        <f t="shared" si="5"/>
        <v>supera</v>
      </c>
      <c r="H9" s="52" t="str">
        <f t="shared" si="5"/>
        <v>En rango</v>
      </c>
      <c r="I9" s="52" t="str">
        <f t="shared" si="5"/>
        <v>En rango</v>
      </c>
      <c r="J9" s="52" t="str">
        <f t="shared" si="5"/>
        <v>En rango</v>
      </c>
      <c r="K9" s="52" t="str">
        <f t="shared" si="5"/>
        <v>En rango</v>
      </c>
      <c r="L9" s="52" t="str">
        <f t="shared" si="5"/>
        <v>supera</v>
      </c>
      <c r="N9" t="s">
        <v>61</v>
      </c>
    </row>
    <row r="10" spans="1:14" ht="18.600000000000001" thickBot="1" x14ac:dyDescent="0.4">
      <c r="A10" s="28" t="s">
        <v>50</v>
      </c>
      <c r="B10" s="54">
        <v>0.75</v>
      </c>
      <c r="C10" s="55" t="str">
        <f>+IF(((B4-C3)/C3)&lt;$B10,"Por debajo","En rango")</f>
        <v>En rango</v>
      </c>
      <c r="D10" s="55" t="str">
        <f t="shared" ref="D10:L10" si="6">+IF(((C4-D3)/D3)&lt;$B10,"Por debajo","En rango")</f>
        <v>En rango</v>
      </c>
      <c r="E10" s="56">
        <f>+E5-5%</f>
        <v>0.79999999999999993</v>
      </c>
      <c r="F10" s="55" t="str">
        <f t="shared" si="6"/>
        <v>Por debajo</v>
      </c>
      <c r="G10" s="55" t="str">
        <f t="shared" si="6"/>
        <v>En rango</v>
      </c>
      <c r="H10" s="55" t="str">
        <f t="shared" si="6"/>
        <v>Por debajo</v>
      </c>
      <c r="I10" s="55" t="str">
        <f t="shared" si="6"/>
        <v>Por debajo</v>
      </c>
      <c r="J10" s="55" t="str">
        <f t="shared" si="6"/>
        <v>Por debajo</v>
      </c>
      <c r="K10" s="55" t="str">
        <f t="shared" si="6"/>
        <v>Por debajo</v>
      </c>
      <c r="L10" s="55" t="str">
        <f t="shared" si="6"/>
        <v>En rango</v>
      </c>
    </row>
    <row r="11" spans="1:14" x14ac:dyDescent="0.3">
      <c r="A11" s="57" t="s">
        <v>51</v>
      </c>
      <c r="B11" s="58" t="s">
        <v>52</v>
      </c>
      <c r="C11" s="58">
        <f>+IF(C$6&gt;$B$7,(C$3*(1+$B$10)),B4)</f>
        <v>180</v>
      </c>
      <c r="D11" s="58">
        <f>+IF(D$6&gt;$B$7,(D$3*(1+$B$10)),C4)</f>
        <v>180</v>
      </c>
      <c r="E11" s="58">
        <f>+IF(E$6&gt;$B$7,(E$3*(1+$B$10)),D4)</f>
        <v>180</v>
      </c>
      <c r="F11" s="58">
        <f t="shared" ref="F11:L11" si="7">+IF(F$6&gt;$B$7,(F$3*(1+$B$10)),E4)</f>
        <v>148</v>
      </c>
      <c r="G11" s="58">
        <f t="shared" si="7"/>
        <v>152.99999999999997</v>
      </c>
      <c r="H11" s="58">
        <f t="shared" si="7"/>
        <v>105</v>
      </c>
      <c r="I11" s="58">
        <f t="shared" si="7"/>
        <v>140</v>
      </c>
      <c r="J11" s="58">
        <f t="shared" si="7"/>
        <v>175</v>
      </c>
      <c r="K11" s="58">
        <f t="shared" si="7"/>
        <v>210</v>
      </c>
      <c r="L11" s="58">
        <f t="shared" si="7"/>
        <v>210</v>
      </c>
    </row>
    <row r="12" spans="1:14" x14ac:dyDescent="0.3">
      <c r="A12" s="59" t="s">
        <v>53</v>
      </c>
      <c r="B12" s="58" t="s">
        <v>54</v>
      </c>
      <c r="C12" s="60">
        <f>+(C11-C$3)/C$3</f>
        <v>0.78217821782178221</v>
      </c>
      <c r="D12" s="60">
        <f>+(D11-D$3)/D$3</f>
        <v>0.76470588235294112</v>
      </c>
      <c r="E12" s="60">
        <f t="shared" ref="E12:L12" si="8">+(E11-E$3)/E$3</f>
        <v>1.25</v>
      </c>
      <c r="F12" s="60">
        <f t="shared" si="8"/>
        <v>0.74117647058823533</v>
      </c>
      <c r="G12" s="60">
        <f t="shared" si="8"/>
        <v>2.8249999999999993</v>
      </c>
      <c r="H12" s="60">
        <f>+(H11-H$3)/H$3</f>
        <v>0.75</v>
      </c>
      <c r="I12" s="60">
        <f t="shared" si="8"/>
        <v>0.75</v>
      </c>
      <c r="J12" s="60">
        <f t="shared" si="8"/>
        <v>0.75</v>
      </c>
      <c r="K12" s="60">
        <f t="shared" si="8"/>
        <v>0.75</v>
      </c>
      <c r="L12" s="60">
        <f t="shared" si="8"/>
        <v>1.3333333333333333</v>
      </c>
    </row>
    <row r="13" spans="1:14" x14ac:dyDescent="0.3">
      <c r="A13" s="59"/>
      <c r="B13" s="58" t="s">
        <v>55</v>
      </c>
      <c r="C13" s="60">
        <f>+IF(C12&lt;$B10,$B10,C12)</f>
        <v>0.78217821782178221</v>
      </c>
      <c r="D13" s="60">
        <f t="shared" ref="D13:L13" si="9">+IF(D12&lt;$B10,$B10,D12)</f>
        <v>0.76470588235294112</v>
      </c>
      <c r="E13" s="60">
        <f t="shared" si="9"/>
        <v>1.25</v>
      </c>
      <c r="F13" s="60">
        <f t="shared" si="9"/>
        <v>0.75</v>
      </c>
      <c r="G13" s="60">
        <f t="shared" si="9"/>
        <v>2.8249999999999993</v>
      </c>
      <c r="H13" s="60">
        <f>+IF(H12&lt;$B10,$B10,H12)</f>
        <v>0.75</v>
      </c>
      <c r="I13" s="60">
        <f t="shared" si="9"/>
        <v>0.75</v>
      </c>
      <c r="J13" s="60">
        <f t="shared" si="9"/>
        <v>0.75</v>
      </c>
      <c r="K13" s="60">
        <f t="shared" si="9"/>
        <v>0.75</v>
      </c>
      <c r="L13" s="60">
        <f t="shared" si="9"/>
        <v>1.3333333333333333</v>
      </c>
    </row>
    <row r="14" spans="1:14" x14ac:dyDescent="0.3">
      <c r="A14" s="59"/>
      <c r="B14" s="58" t="s">
        <v>56</v>
      </c>
      <c r="C14" s="58">
        <f t="shared" ref="C14:L14" si="10">+C3*(1+C13)</f>
        <v>180</v>
      </c>
      <c r="D14" s="58">
        <f t="shared" si="10"/>
        <v>180</v>
      </c>
      <c r="E14" s="58">
        <f t="shared" si="10"/>
        <v>180</v>
      </c>
      <c r="F14" s="58">
        <f t="shared" si="10"/>
        <v>148.75</v>
      </c>
      <c r="G14" s="58">
        <f t="shared" si="10"/>
        <v>152.99999999999997</v>
      </c>
      <c r="H14" s="58">
        <f t="shared" si="10"/>
        <v>105</v>
      </c>
      <c r="I14" s="58">
        <f t="shared" si="10"/>
        <v>140</v>
      </c>
      <c r="J14" s="58">
        <f t="shared" si="10"/>
        <v>175</v>
      </c>
      <c r="K14" s="58">
        <f t="shared" si="10"/>
        <v>210</v>
      </c>
      <c r="L14" s="58">
        <f t="shared" si="10"/>
        <v>209.99999999999997</v>
      </c>
    </row>
    <row r="15" spans="1:14" x14ac:dyDescent="0.3">
      <c r="A15" s="59"/>
      <c r="B15" s="58" t="s">
        <v>57</v>
      </c>
      <c r="C15" s="58">
        <f>+IF(C12&lt;C13,C14,C11)</f>
        <v>180</v>
      </c>
      <c r="D15" s="58">
        <f t="shared" ref="D15:L15" si="11">+IF(D12&lt;D13,D14,D11)</f>
        <v>180</v>
      </c>
      <c r="E15" s="58">
        <f t="shared" si="11"/>
        <v>180</v>
      </c>
      <c r="F15" s="58">
        <f t="shared" si="11"/>
        <v>148.75</v>
      </c>
      <c r="G15" s="58">
        <f t="shared" si="11"/>
        <v>152.99999999999997</v>
      </c>
      <c r="H15" s="58">
        <f t="shared" si="11"/>
        <v>105</v>
      </c>
      <c r="I15" s="58">
        <f t="shared" si="11"/>
        <v>140</v>
      </c>
      <c r="J15" s="58">
        <f t="shared" si="11"/>
        <v>175</v>
      </c>
      <c r="K15" s="58">
        <f t="shared" si="11"/>
        <v>210</v>
      </c>
      <c r="L15" s="58">
        <f t="shared" si="11"/>
        <v>210</v>
      </c>
    </row>
    <row r="16" spans="1:14" x14ac:dyDescent="0.3">
      <c r="A16" s="61" t="s">
        <v>58</v>
      </c>
      <c r="B16" s="62" t="s">
        <v>52</v>
      </c>
      <c r="C16" s="62">
        <f>+IF(C$6&lt;$B$8,(C$3*(1+$B$9)),$B4)</f>
        <v>180</v>
      </c>
      <c r="D16" s="62">
        <f>+IF(D$6&lt;$B$8,(D$3*(1+$B$9)),$B4)</f>
        <v>180</v>
      </c>
      <c r="E16" s="62">
        <f>+IF(E$6&lt;$B$8,(E$3*(1+$B$9)),$B4)</f>
        <v>148</v>
      </c>
      <c r="F16" s="62">
        <f>+IF(F$6&lt;$B$8,(F$3*(1+$B$9)),$B4)</f>
        <v>180</v>
      </c>
      <c r="G16" s="62">
        <f>+IF(G$6&lt;$B$8,(G$3*(1+$B$9)),$B4)</f>
        <v>74</v>
      </c>
      <c r="H16" s="62">
        <f>+IF(H$6&lt;$B$8,(H$3*(1+$B$9)),$B4)</f>
        <v>180</v>
      </c>
      <c r="I16" s="62">
        <f>+IF(I$6&lt;$B$8,(I$3*(1+$B$9)),$B4)</f>
        <v>180</v>
      </c>
      <c r="J16" s="62">
        <f>+IF(J$6&lt;$B$8,(J$3*(1+$B$9)),$B4)</f>
        <v>180</v>
      </c>
      <c r="K16" s="62">
        <f>+IF(K$6&lt;$B$8,(K$3*(1+$B$9)),$B4)</f>
        <v>180</v>
      </c>
      <c r="L16" s="62">
        <f>+IF(L$6&lt;$B$8,(L$3*(1+$B$9)),$B4)</f>
        <v>166.5</v>
      </c>
    </row>
    <row r="17" spans="1:12" x14ac:dyDescent="0.3">
      <c r="A17" s="63" t="s">
        <v>59</v>
      </c>
      <c r="B17" s="62" t="s">
        <v>54</v>
      </c>
      <c r="C17" s="64">
        <f>+(C16-C$3)/C$3</f>
        <v>0.78217821782178221</v>
      </c>
      <c r="D17" s="64">
        <f t="shared" ref="D17:L17" si="12">+(D16-D$3)/D$3</f>
        <v>0.76470588235294112</v>
      </c>
      <c r="E17" s="64">
        <f t="shared" si="12"/>
        <v>0.85</v>
      </c>
      <c r="F17" s="64">
        <f t="shared" si="12"/>
        <v>1.1176470588235294</v>
      </c>
      <c r="G17" s="64">
        <f t="shared" si="12"/>
        <v>0.85</v>
      </c>
      <c r="H17" s="64">
        <f t="shared" si="12"/>
        <v>2</v>
      </c>
      <c r="I17" s="64">
        <f t="shared" si="12"/>
        <v>1.25</v>
      </c>
      <c r="J17" s="64">
        <f t="shared" si="12"/>
        <v>0.8</v>
      </c>
      <c r="K17" s="64">
        <f t="shared" si="12"/>
        <v>0.5</v>
      </c>
      <c r="L17" s="64">
        <f t="shared" si="12"/>
        <v>0.85</v>
      </c>
    </row>
    <row r="18" spans="1:12" x14ac:dyDescent="0.3">
      <c r="A18" s="63"/>
      <c r="B18" s="62" t="s">
        <v>55</v>
      </c>
      <c r="C18" s="64">
        <f>+IF(C17&lt;$B9,$B9,C17)</f>
        <v>0.85</v>
      </c>
      <c r="D18" s="64">
        <f>+IF(D17&gt;$B9,$B9,D17)</f>
        <v>0.76470588235294112</v>
      </c>
      <c r="E18" s="64">
        <f t="shared" ref="E18:L18" si="13">+IF(E17&gt;$B9,$B9,E17)</f>
        <v>0.85</v>
      </c>
      <c r="F18" s="64">
        <f t="shared" si="13"/>
        <v>0.85</v>
      </c>
      <c r="G18" s="64">
        <f t="shared" si="13"/>
        <v>0.85</v>
      </c>
      <c r="H18" s="64">
        <f t="shared" si="13"/>
        <v>0.85</v>
      </c>
      <c r="I18" s="64">
        <f t="shared" si="13"/>
        <v>0.85</v>
      </c>
      <c r="J18" s="64">
        <f t="shared" si="13"/>
        <v>0.8</v>
      </c>
      <c r="K18" s="64">
        <f t="shared" si="13"/>
        <v>0.5</v>
      </c>
      <c r="L18" s="64">
        <f t="shared" si="13"/>
        <v>0.85</v>
      </c>
    </row>
    <row r="19" spans="1:12" x14ac:dyDescent="0.3">
      <c r="A19" s="63"/>
      <c r="B19" s="62" t="s">
        <v>56</v>
      </c>
      <c r="C19" s="62">
        <f>+C3*(1+C18)</f>
        <v>186.85000000000002</v>
      </c>
      <c r="D19" s="62">
        <f t="shared" ref="D19:L19" si="14">+D3*(1+D18)</f>
        <v>180</v>
      </c>
      <c r="E19" s="62">
        <f t="shared" si="14"/>
        <v>148</v>
      </c>
      <c r="F19" s="62">
        <f t="shared" si="14"/>
        <v>157.25</v>
      </c>
      <c r="G19" s="62">
        <f t="shared" si="14"/>
        <v>74</v>
      </c>
      <c r="H19" s="62">
        <f t="shared" si="14"/>
        <v>111</v>
      </c>
      <c r="I19" s="62">
        <f t="shared" si="14"/>
        <v>148</v>
      </c>
      <c r="J19" s="62">
        <f t="shared" si="14"/>
        <v>180</v>
      </c>
      <c r="K19" s="62">
        <f t="shared" si="14"/>
        <v>180</v>
      </c>
      <c r="L19" s="62">
        <f t="shared" si="14"/>
        <v>166.5</v>
      </c>
    </row>
    <row r="20" spans="1:12" x14ac:dyDescent="0.3">
      <c r="A20" s="63"/>
      <c r="B20" s="62" t="s">
        <v>57</v>
      </c>
      <c r="C20" s="62">
        <f>+IF(C19&lt;C16,C16,C19)</f>
        <v>186.85000000000002</v>
      </c>
      <c r="D20" s="62">
        <f t="shared" ref="D20:L20" si="15">+IF(D19&lt;D16,D16,D19)</f>
        <v>180</v>
      </c>
      <c r="E20" s="62">
        <f t="shared" si="15"/>
        <v>148</v>
      </c>
      <c r="F20" s="62">
        <f t="shared" si="15"/>
        <v>180</v>
      </c>
      <c r="G20" s="62">
        <f t="shared" si="15"/>
        <v>74</v>
      </c>
      <c r="H20" s="62">
        <f t="shared" si="15"/>
        <v>180</v>
      </c>
      <c r="I20" s="62">
        <f t="shared" si="15"/>
        <v>180</v>
      </c>
      <c r="J20" s="62">
        <f t="shared" si="15"/>
        <v>180</v>
      </c>
      <c r="K20" s="62">
        <f t="shared" si="15"/>
        <v>180</v>
      </c>
      <c r="L20" s="62">
        <f t="shared" si="15"/>
        <v>166.5</v>
      </c>
    </row>
    <row r="21" spans="1:12" x14ac:dyDescent="0.3">
      <c r="A21" s="65"/>
      <c r="B21" s="66"/>
      <c r="C21" s="66">
        <f>+IF(C6&gt;0,C15,C20)</f>
        <v>180</v>
      </c>
      <c r="D21" s="66">
        <f t="shared" ref="D21:L21" si="16">+IF(D6&gt;0,D15,D20)</f>
        <v>180</v>
      </c>
      <c r="E21" s="66">
        <f t="shared" si="16"/>
        <v>148</v>
      </c>
      <c r="F21" s="66">
        <f t="shared" si="16"/>
        <v>148.75</v>
      </c>
      <c r="G21" s="66">
        <f t="shared" si="16"/>
        <v>74</v>
      </c>
      <c r="H21" s="66">
        <f t="shared" si="16"/>
        <v>105</v>
      </c>
      <c r="I21" s="66">
        <f t="shared" si="16"/>
        <v>140</v>
      </c>
      <c r="J21" s="66">
        <f t="shared" si="16"/>
        <v>175</v>
      </c>
      <c r="K21" s="66">
        <f t="shared" si="16"/>
        <v>210</v>
      </c>
      <c r="L21" s="66">
        <f t="shared" si="16"/>
        <v>166.5</v>
      </c>
    </row>
    <row r="22" spans="1:12" x14ac:dyDescent="0.3">
      <c r="A22" s="31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Tipos</vt:lpstr>
      <vt:lpstr>Actual</vt:lpstr>
      <vt:lpstr>Propuesto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Marin Paniagua</dc:creator>
  <cp:lastModifiedBy>Ivan Marin Paniagua</cp:lastModifiedBy>
  <dcterms:created xsi:type="dcterms:W3CDTF">2026-06-17T20:07:28Z</dcterms:created>
  <dcterms:modified xsi:type="dcterms:W3CDTF">2026-06-17T20:37:15Z</dcterms:modified>
</cp:coreProperties>
</file>